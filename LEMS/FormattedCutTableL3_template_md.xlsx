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mac stove data/DOE Data/lab tests/5 stoves comparison/all stoves/"/>
    </mc:Choice>
  </mc:AlternateContent>
  <xr:revisionPtr revIDLastSave="0" documentId="13_ncr:1_{7FF33E8D-27F1-DD4C-BBA7-957E08A803AD}" xr6:coauthVersionLast="47" xr6:coauthVersionMax="47" xr10:uidLastSave="{00000000-0000-0000-0000-000000000000}"/>
  <bookViews>
    <workbookView xWindow="5420" yWindow="1740" windowWidth="27240" windowHeight="16440" xr2:uid="{1837E1AF-DB18-D64C-9443-79C0B4F568AD}"/>
  </bookViews>
  <sheets>
    <sheet name="all data expan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" l="1"/>
  <c r="I80" i="1"/>
  <c r="J80" i="1"/>
  <c r="K80" i="1"/>
  <c r="L80" i="1"/>
  <c r="M80" i="1"/>
  <c r="N80" i="1"/>
  <c r="O80" i="1"/>
  <c r="P80" i="1"/>
  <c r="R80" i="1"/>
  <c r="S80" i="1"/>
  <c r="H81" i="1"/>
  <c r="I81" i="1"/>
  <c r="J81" i="1"/>
  <c r="K81" i="1"/>
  <c r="L81" i="1"/>
  <c r="M81" i="1"/>
  <c r="N81" i="1"/>
  <c r="O81" i="1"/>
  <c r="P81" i="1"/>
  <c r="R81" i="1"/>
  <c r="S81" i="1"/>
  <c r="H82" i="1"/>
  <c r="I82" i="1"/>
  <c r="J82" i="1"/>
  <c r="K82" i="1"/>
  <c r="L82" i="1"/>
  <c r="M82" i="1"/>
  <c r="N82" i="1"/>
  <c r="O82" i="1"/>
  <c r="P82" i="1"/>
  <c r="R82" i="1"/>
  <c r="S82" i="1"/>
  <c r="H83" i="1"/>
  <c r="I83" i="1"/>
  <c r="J83" i="1"/>
  <c r="K83" i="1"/>
  <c r="L83" i="1"/>
  <c r="M83" i="1"/>
  <c r="N83" i="1"/>
  <c r="O83" i="1"/>
  <c r="P83" i="1"/>
  <c r="R83" i="1"/>
  <c r="S83" i="1"/>
  <c r="G81" i="1"/>
  <c r="G82" i="1"/>
  <c r="G83" i="1"/>
  <c r="G80" i="1"/>
  <c r="H45" i="1"/>
  <c r="I45" i="1"/>
  <c r="J45" i="1"/>
  <c r="K45" i="1"/>
  <c r="L45" i="1"/>
  <c r="M45" i="1"/>
  <c r="N45" i="1"/>
  <c r="O45" i="1"/>
  <c r="P45" i="1"/>
  <c r="R45" i="1"/>
  <c r="S45" i="1"/>
  <c r="H46" i="1"/>
  <c r="I46" i="1"/>
  <c r="J46" i="1"/>
  <c r="K46" i="1"/>
  <c r="L46" i="1"/>
  <c r="M46" i="1"/>
  <c r="N46" i="1"/>
  <c r="O46" i="1"/>
  <c r="P46" i="1"/>
  <c r="R46" i="1"/>
  <c r="S46" i="1"/>
  <c r="H47" i="1"/>
  <c r="I47" i="1"/>
  <c r="J47" i="1"/>
  <c r="K47" i="1"/>
  <c r="L47" i="1"/>
  <c r="M47" i="1"/>
  <c r="N47" i="1"/>
  <c r="O47" i="1"/>
  <c r="P47" i="1"/>
  <c r="R47" i="1"/>
  <c r="S47" i="1"/>
  <c r="H48" i="1"/>
  <c r="I48" i="1"/>
  <c r="J48" i="1"/>
  <c r="K48" i="1"/>
  <c r="L48" i="1"/>
  <c r="M48" i="1"/>
  <c r="N48" i="1"/>
  <c r="O48" i="1"/>
  <c r="P48" i="1"/>
  <c r="R48" i="1"/>
  <c r="S48" i="1"/>
  <c r="G46" i="1"/>
  <c r="G47" i="1"/>
  <c r="G48" i="1"/>
  <c r="G45" i="1"/>
</calcChain>
</file>

<file path=xl/sharedStrings.xml><?xml version="1.0" encoding="utf-8"?>
<sst xmlns="http://schemas.openxmlformats.org/spreadsheetml/2006/main" count="410" uniqueCount="144">
  <si>
    <t>1B</t>
  </si>
  <si>
    <t>1R1</t>
  </si>
  <si>
    <t>1R2</t>
  </si>
  <si>
    <t>2B</t>
  </si>
  <si>
    <t>2R</t>
  </si>
  <si>
    <t>3B</t>
  </si>
  <si>
    <t>3R1</t>
  </si>
  <si>
    <t>3R2</t>
  </si>
  <si>
    <t>4B</t>
  </si>
  <si>
    <t>4R</t>
  </si>
  <si>
    <t>5B</t>
  </si>
  <si>
    <t>5R</t>
  </si>
  <si>
    <t>Metrics</t>
  </si>
  <si>
    <t>units</t>
  </si>
  <si>
    <t>Operation</t>
  </si>
  <si>
    <t># test replicates</t>
  </si>
  <si>
    <t>Cold start</t>
  </si>
  <si>
    <t>High power</t>
  </si>
  <si>
    <t>Medium power</t>
  </si>
  <si>
    <t>Low power</t>
  </si>
  <si>
    <t>Initial fuel load density, wet basis</t>
  </si>
  <si>
    <t>Fuel mass consumed, dry basis with char</t>
  </si>
  <si>
    <t>fuel_dry_mass_L1</t>
  </si>
  <si>
    <t>fuel_dry_mass_hp</t>
  </si>
  <si>
    <t>fuel_dry_mass_mp</t>
  </si>
  <si>
    <t>fuel_dry_mass_lp</t>
  </si>
  <si>
    <t>Total</t>
  </si>
  <si>
    <t>fuel_dry_mass_total</t>
  </si>
  <si>
    <t>initial_fuel_mass_1_L1</t>
  </si>
  <si>
    <t>initial_fuel_mass_1_hp</t>
  </si>
  <si>
    <t>initial_fuel_mass_1_mp</t>
  </si>
  <si>
    <t>initial_fuel_mass_1_lp</t>
  </si>
  <si>
    <t>Charcoal load before reload</t>
  </si>
  <si>
    <t>initial_fuel_mass_2_L1</t>
  </si>
  <si>
    <t>initial_fuel_mass_2_hp</t>
  </si>
  <si>
    <t>initial_fuel_mass_2_mp</t>
  </si>
  <si>
    <t>initial_fuel_mass_2_lp</t>
  </si>
  <si>
    <t>Energy Performance</t>
  </si>
  <si>
    <t>Firepower, dry fuel with char basis</t>
  </si>
  <si>
    <t>kW</t>
  </si>
  <si>
    <t>firepower_w_char_L1</t>
  </si>
  <si>
    <t>firepower_w_char_hp</t>
  </si>
  <si>
    <t>firepower_w_char_mp</t>
  </si>
  <si>
    <t>firepower_w_char_lp</t>
  </si>
  <si>
    <t>Firepower, carbon basis</t>
  </si>
  <si>
    <t>firepower_carbon_L1</t>
  </si>
  <si>
    <t>firepower_carbon_hp</t>
  </si>
  <si>
    <t>firepower_carbon_mp</t>
  </si>
  <si>
    <t>firepower_carbon_lp</t>
  </si>
  <si>
    <t>carbon balance</t>
  </si>
  <si>
    <t>C_Out_In_L1</t>
  </si>
  <si>
    <t>C_Out_In_hp</t>
  </si>
  <si>
    <t>C_Out_In_mp</t>
  </si>
  <si>
    <t>C_Out_In_lp</t>
  </si>
  <si>
    <t>Burn rate, dry basis with char</t>
  </si>
  <si>
    <t>burn_rate_dry_L1</t>
  </si>
  <si>
    <t>burn_rate_dry_hp</t>
  </si>
  <si>
    <t>burn_rate_dry_mp</t>
  </si>
  <si>
    <t>burn_rate_dry_lp</t>
  </si>
  <si>
    <t>Burn rate, wet basis no char</t>
  </si>
  <si>
    <t>Burn time</t>
  </si>
  <si>
    <t>phase_time_L1</t>
  </si>
  <si>
    <t>phase_time_hp</t>
  </si>
  <si>
    <t>phase_time_mp</t>
  </si>
  <si>
    <t>phase_time_lp</t>
  </si>
  <si>
    <t>phase_time_total</t>
  </si>
  <si>
    <t>Burn time, gasification only</t>
  </si>
  <si>
    <t>Energy released</t>
  </si>
  <si>
    <t>energy_consumed_L1</t>
  </si>
  <si>
    <t>energy_consumed_hp</t>
  </si>
  <si>
    <t>energy_consumed_mp</t>
  </si>
  <si>
    <t>energy_consumed_lp</t>
  </si>
  <si>
    <t>Emissions Performance, PM2.5</t>
  </si>
  <si>
    <t>Total emissions</t>
  </si>
  <si>
    <t>PM_total_mass_L1</t>
  </si>
  <si>
    <t>PM_total_mass_hp</t>
  </si>
  <si>
    <t>PM_total_mass_mp</t>
  </si>
  <si>
    <t>PM_total_mass_lp</t>
  </si>
  <si>
    <t>PM_total_mass_total</t>
  </si>
  <si>
    <t>Total emissions, gasification</t>
  </si>
  <si>
    <t>Emissions rate</t>
  </si>
  <si>
    <t>PM_heat_mass_time_L1</t>
  </si>
  <si>
    <t>PM_heat_mass_time_hp</t>
  </si>
  <si>
    <t>PM_heat_mass_time_mp</t>
  </si>
  <si>
    <t>PM_heat_mass_time_lp</t>
  </si>
  <si>
    <t>PM_heat_mass_time_total</t>
  </si>
  <si>
    <t>Emissions rate, gasification</t>
  </si>
  <si>
    <t>Emissions factor, dry fuel</t>
  </si>
  <si>
    <t>PM_fuel_dry_mass_L1</t>
  </si>
  <si>
    <t>PM_fuel_dry_mass_hp</t>
  </si>
  <si>
    <t>PM_fuel_dry_mass_mp</t>
  </si>
  <si>
    <t>PM_fuel_dry_mass_lp</t>
  </si>
  <si>
    <t>PM_fuel_dry_mass_total</t>
  </si>
  <si>
    <t>Emissions factor, energy</t>
  </si>
  <si>
    <t>PM_fuel_energy_L1</t>
  </si>
  <si>
    <t>PM_fuel_energy_hp</t>
  </si>
  <si>
    <t>PM_fuel_energy_mp</t>
  </si>
  <si>
    <t>PM_fuel_energy_lp</t>
  </si>
  <si>
    <t>Emissions factor, wet fuel</t>
  </si>
  <si>
    <t>Emissions factor, carbon</t>
  </si>
  <si>
    <t>PM_EF_L1</t>
  </si>
  <si>
    <t>PM_EF_hp</t>
  </si>
  <si>
    <t>PM_EF_mp</t>
  </si>
  <si>
    <t>PM_EF_lp</t>
  </si>
  <si>
    <t>Emissions Performance, CO</t>
  </si>
  <si>
    <t>CO_total_mass_L1</t>
  </si>
  <si>
    <t>CO_total_mass_hp</t>
  </si>
  <si>
    <t>CO_total_mass_mp</t>
  </si>
  <si>
    <t>CO_total_mass_lp</t>
  </si>
  <si>
    <t>CO_total_mass_total</t>
  </si>
  <si>
    <t>CO_mass_time_L1</t>
  </si>
  <si>
    <t>CO_mass_time_hp</t>
  </si>
  <si>
    <t>CO_mass_time_mp</t>
  </si>
  <si>
    <t>CO_mass_time_lp</t>
  </si>
  <si>
    <t>CO_fuel_dry_mass_L1</t>
  </si>
  <si>
    <t>CO_fuel_dry_mass_hp</t>
  </si>
  <si>
    <t>CO_fuel_dry_mass_mp</t>
  </si>
  <si>
    <t>CO_fuel_dry_mass_lp</t>
  </si>
  <si>
    <t>CO_fuel_energy_L1</t>
  </si>
  <si>
    <t>CO_fuel_energy_hp</t>
  </si>
  <si>
    <t>CO_fuel_energy_mp</t>
  </si>
  <si>
    <t>CO_fuel_energy_lp</t>
  </si>
  <si>
    <t>CO_fuel_energy_total</t>
  </si>
  <si>
    <t>CO_EF_L1</t>
  </si>
  <si>
    <t>CO_EF_hp</t>
  </si>
  <si>
    <t>CO_EF_mp</t>
  </si>
  <si>
    <t>CO_EF_lp</t>
  </si>
  <si>
    <t>stove_type/model</t>
  </si>
  <si>
    <t>MSC_L1</t>
  </si>
  <si>
    <t>MSC_lp</t>
  </si>
  <si>
    <t>MSC_mp</t>
  </si>
  <si>
    <t>MSC_hp</t>
  </si>
  <si>
    <t>Mass scattering cross section</t>
  </si>
  <si>
    <t>Initial fuel mass, wet basis, dry fir</t>
  </si>
  <si>
    <t>Initial fuel mass, wet basis, wet fir or maple</t>
  </si>
  <si>
    <t>initial_fuel_mass_3_L1</t>
  </si>
  <si>
    <t>initial_fuel_mass_3_hp</t>
  </si>
  <si>
    <t>initial_fuel_mass_3_mp</t>
  </si>
  <si>
    <t>initial_fuel_mass_3_lp</t>
  </si>
  <si>
    <t>W</t>
  </si>
  <si>
    <t>hr</t>
  </si>
  <si>
    <t>min</t>
  </si>
  <si>
    <t>data_key_1</t>
  </si>
  <si>
    <t>data_key_2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</si>
</sst>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11" xfId="0" applyFont="1" applyBorder="1"/>
    <xf numFmtId="0" fontId="2" fillId="0" borderId="0" xfId="0" applyFont="1"/>
    <xf numFmtId="0" fontId="2" fillId="0" borderId="14" xfId="0" applyFont="1" applyBorder="1"/>
    <xf numFmtId="0" fontId="1" fillId="0" borderId="15" xfId="0" applyFont="1" applyBorder="1"/>
    <xf numFmtId="0" fontId="2" fillId="0" borderId="15" xfId="0" applyFont="1" applyBorder="1"/>
    <xf numFmtId="0" fontId="2" fillId="0" borderId="4" xfId="0" applyFont="1" applyBorder="1"/>
    <xf numFmtId="0" fontId="3" fillId="0" borderId="0" xfId="0" applyFont="1"/>
    <xf numFmtId="0" fontId="2" fillId="0" borderId="12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804-EB7C-BF43-9073-75DDFAF0ED4D}">
  <dimension ref="B1:T200"/>
  <sheetViews>
    <sheetView tabSelected="1" topLeftCell="G1" zoomScale="219" zoomScaleNormal="219" workbookViewId="0">
      <selection activeCell="Q7" sqref="Q7"/>
    </sheetView>
  </sheetViews>
  <sheetFormatPr baseColWidth="10" defaultRowHeight="16" x14ac:dyDescent="0.2"/>
  <cols>
    <col min="1" max="1" width="3.1640625" style="1" customWidth="1"/>
    <col min="3" max="3" width="2.6640625" style="1" customWidth="1"/>
    <col min="4" max="4" width="22.5" style="1" customWidth="1"/>
    <col min="5" max="5" width="4.5" style="1" customWidth="1"/>
    <col min="6" max="6" width="23" style="1" customWidth="1"/>
    <col min="7" max="9" width="6.5" style="2" customWidth="1"/>
    <col min="10" max="10" width="6.5" style="3" customWidth="1"/>
    <col min="11" max="13" width="6.5" style="2" customWidth="1"/>
    <col min="14" max="14" width="6.5" style="3" customWidth="1"/>
    <col min="15" max="15" width="6.5" style="2" customWidth="1"/>
    <col min="16" max="16" width="6.5" style="3" customWidth="1"/>
    <col min="17" max="17" width="23" style="1" customWidth="1"/>
    <col min="18" max="19" width="6.5" style="2" customWidth="1"/>
    <col min="20" max="20" width="10.83203125" style="2"/>
    <col min="21" max="16384" width="10.83203125" style="1"/>
  </cols>
  <sheetData>
    <row r="1" spans="3:20" x14ac:dyDescent="0.2">
      <c r="C1" s="1" t="s">
        <v>12</v>
      </c>
      <c r="E1" s="1" t="s">
        <v>13</v>
      </c>
      <c r="F1" s="1" t="s">
        <v>142</v>
      </c>
      <c r="G1" s="2" t="s">
        <v>0</v>
      </c>
      <c r="H1" s="2" t="s">
        <v>1</v>
      </c>
      <c r="I1" s="2" t="s">
        <v>2</v>
      </c>
      <c r="J1" s="3" t="s">
        <v>3</v>
      </c>
      <c r="K1" s="2" t="s">
        <v>4</v>
      </c>
      <c r="L1" s="2" t="s">
        <v>5</v>
      </c>
      <c r="M1" s="2" t="s">
        <v>6</v>
      </c>
      <c r="N1" s="3" t="s">
        <v>7</v>
      </c>
      <c r="O1" s="2" t="s">
        <v>8</v>
      </c>
      <c r="P1" s="3" t="s">
        <v>9</v>
      </c>
      <c r="Q1" s="1" t="s">
        <v>143</v>
      </c>
      <c r="R1" s="2" t="s">
        <v>10</v>
      </c>
      <c r="S1" s="2" t="s">
        <v>11</v>
      </c>
    </row>
    <row r="2" spans="3:20" ht="17" thickBot="1" x14ac:dyDescent="0.25">
      <c r="F2" s="1" t="s">
        <v>127</v>
      </c>
      <c r="Q2" s="1" t="s">
        <v>127</v>
      </c>
    </row>
    <row r="3" spans="3:20" x14ac:dyDescent="0.2">
      <c r="C3" s="4" t="s">
        <v>14</v>
      </c>
      <c r="D3" s="5"/>
    </row>
    <row r="4" spans="3:20" s="8" customFormat="1" ht="14" x14ac:dyDescent="0.2">
      <c r="C4" s="6" t="s">
        <v>15</v>
      </c>
      <c r="D4" s="7"/>
      <c r="G4" s="9"/>
      <c r="H4" s="9"/>
      <c r="I4" s="9"/>
      <c r="J4" s="10"/>
      <c r="K4" s="9"/>
      <c r="L4" s="9"/>
      <c r="M4" s="9"/>
      <c r="N4" s="10"/>
      <c r="O4" s="9"/>
      <c r="P4" s="10"/>
      <c r="R4" s="9"/>
      <c r="S4" s="9"/>
      <c r="T4" s="9"/>
    </row>
    <row r="5" spans="3:20" x14ac:dyDescent="0.2">
      <c r="C5" s="11"/>
      <c r="D5" s="12" t="s">
        <v>16</v>
      </c>
    </row>
    <row r="6" spans="3:20" x14ac:dyDescent="0.2">
      <c r="C6" s="11"/>
      <c r="D6" s="12" t="s">
        <v>17</v>
      </c>
    </row>
    <row r="7" spans="3:20" x14ac:dyDescent="0.2">
      <c r="C7" s="11"/>
      <c r="D7" s="12" t="s">
        <v>18</v>
      </c>
    </row>
    <row r="8" spans="3:20" x14ac:dyDescent="0.2">
      <c r="C8" s="11"/>
      <c r="D8" s="12" t="s">
        <v>19</v>
      </c>
    </row>
    <row r="9" spans="3:20" s="8" customFormat="1" ht="14" x14ac:dyDescent="0.2">
      <c r="C9" s="6" t="s">
        <v>20</v>
      </c>
      <c r="D9" s="13"/>
      <c r="G9" s="9"/>
      <c r="H9" s="9"/>
      <c r="I9" s="9"/>
      <c r="J9" s="10"/>
      <c r="K9" s="9"/>
      <c r="L9" s="9"/>
      <c r="M9" s="9"/>
      <c r="N9" s="10"/>
      <c r="O9" s="9"/>
      <c r="P9" s="10"/>
      <c r="R9" s="9"/>
      <c r="S9" s="9"/>
      <c r="T9" s="9"/>
    </row>
    <row r="10" spans="3:20" x14ac:dyDescent="0.2">
      <c r="C10" s="11"/>
      <c r="D10" s="12" t="s">
        <v>16</v>
      </c>
    </row>
    <row r="11" spans="3:20" x14ac:dyDescent="0.2">
      <c r="C11" s="11"/>
      <c r="D11" s="12" t="s">
        <v>17</v>
      </c>
    </row>
    <row r="12" spans="3:20" x14ac:dyDescent="0.2">
      <c r="C12" s="11"/>
      <c r="D12" s="12" t="s">
        <v>18</v>
      </c>
    </row>
    <row r="13" spans="3:20" x14ac:dyDescent="0.2">
      <c r="C13" s="11"/>
      <c r="D13" s="12" t="s">
        <v>19</v>
      </c>
    </row>
    <row r="14" spans="3:20" s="8" customFormat="1" ht="14" x14ac:dyDescent="0.2">
      <c r="C14" s="6" t="s">
        <v>21</v>
      </c>
      <c r="D14" s="13"/>
      <c r="G14" s="9"/>
      <c r="H14" s="9"/>
      <c r="I14" s="9"/>
      <c r="J14" s="10"/>
      <c r="K14" s="9"/>
      <c r="L14" s="9"/>
      <c r="M14" s="9"/>
      <c r="N14" s="10"/>
      <c r="O14" s="9"/>
      <c r="P14" s="10"/>
      <c r="R14" s="9"/>
      <c r="S14" s="9"/>
      <c r="T14" s="9"/>
    </row>
    <row r="15" spans="3:20" x14ac:dyDescent="0.2">
      <c r="C15" s="11"/>
      <c r="D15" s="12" t="s">
        <v>16</v>
      </c>
      <c r="F15" t="s">
        <v>22</v>
      </c>
      <c r="Q15" t="s">
        <v>22</v>
      </c>
    </row>
    <row r="16" spans="3:20" x14ac:dyDescent="0.2">
      <c r="C16" s="11"/>
      <c r="D16" s="12" t="s">
        <v>17</v>
      </c>
      <c r="F16" t="s">
        <v>23</v>
      </c>
      <c r="Q16" t="s">
        <v>23</v>
      </c>
    </row>
    <row r="17" spans="3:20" x14ac:dyDescent="0.2">
      <c r="C17" s="11"/>
      <c r="D17" s="12" t="s">
        <v>18</v>
      </c>
      <c r="F17" t="s">
        <v>24</v>
      </c>
      <c r="Q17" t="s">
        <v>24</v>
      </c>
    </row>
    <row r="18" spans="3:20" x14ac:dyDescent="0.2">
      <c r="C18" s="11"/>
      <c r="D18" s="12" t="s">
        <v>19</v>
      </c>
      <c r="F18" t="s">
        <v>25</v>
      </c>
      <c r="Q18" t="s">
        <v>25</v>
      </c>
    </row>
    <row r="19" spans="3:20" x14ac:dyDescent="0.2">
      <c r="C19" s="11"/>
      <c r="D19" s="12" t="s">
        <v>26</v>
      </c>
      <c r="F19" s="1" t="s">
        <v>27</v>
      </c>
      <c r="Q19" s="1" t="s">
        <v>27</v>
      </c>
    </row>
    <row r="20" spans="3:20" s="8" customFormat="1" ht="14" x14ac:dyDescent="0.2">
      <c r="C20" s="6" t="s">
        <v>133</v>
      </c>
      <c r="D20" s="13"/>
      <c r="G20" s="9"/>
      <c r="H20" s="9"/>
      <c r="I20" s="9"/>
      <c r="J20" s="10"/>
      <c r="K20" s="9"/>
      <c r="L20" s="9"/>
      <c r="M20" s="9"/>
      <c r="N20" s="10"/>
      <c r="O20" s="9"/>
      <c r="P20" s="10"/>
      <c r="R20" s="9"/>
      <c r="S20" s="9"/>
      <c r="T20" s="9"/>
    </row>
    <row r="21" spans="3:20" x14ac:dyDescent="0.2">
      <c r="C21" s="11"/>
      <c r="D21" s="12" t="s">
        <v>16</v>
      </c>
      <c r="F21" t="s">
        <v>28</v>
      </c>
      <c r="Q21" t="s">
        <v>28</v>
      </c>
    </row>
    <row r="22" spans="3:20" x14ac:dyDescent="0.2">
      <c r="C22" s="11"/>
      <c r="D22" s="12" t="s">
        <v>17</v>
      </c>
      <c r="F22" t="s">
        <v>29</v>
      </c>
      <c r="Q22" t="s">
        <v>29</v>
      </c>
    </row>
    <row r="23" spans="3:20" x14ac:dyDescent="0.2">
      <c r="C23" s="11"/>
      <c r="D23" s="12" t="s">
        <v>18</v>
      </c>
      <c r="F23" t="s">
        <v>30</v>
      </c>
      <c r="Q23" t="s">
        <v>30</v>
      </c>
    </row>
    <row r="24" spans="3:20" x14ac:dyDescent="0.2">
      <c r="C24" s="11"/>
      <c r="D24" s="12" t="s">
        <v>19</v>
      </c>
      <c r="F24" t="s">
        <v>31</v>
      </c>
      <c r="Q24" t="s">
        <v>31</v>
      </c>
    </row>
    <row r="25" spans="3:20" x14ac:dyDescent="0.2">
      <c r="C25" s="11"/>
      <c r="D25" s="12" t="s">
        <v>26</v>
      </c>
    </row>
    <row r="26" spans="3:20" s="8" customFormat="1" ht="14" x14ac:dyDescent="0.2">
      <c r="C26" s="6" t="s">
        <v>32</v>
      </c>
      <c r="D26" s="13"/>
      <c r="G26" s="9"/>
      <c r="H26" s="9"/>
      <c r="I26" s="9"/>
      <c r="J26" s="10"/>
      <c r="K26" s="9"/>
      <c r="L26" s="9"/>
      <c r="M26" s="9"/>
      <c r="N26" s="10"/>
      <c r="O26" s="9"/>
      <c r="P26" s="10"/>
      <c r="R26" s="9"/>
      <c r="S26" s="9"/>
      <c r="T26" s="9"/>
    </row>
    <row r="27" spans="3:20" x14ac:dyDescent="0.2">
      <c r="C27" s="11"/>
      <c r="D27" s="12" t="s">
        <v>16</v>
      </c>
      <c r="F27" t="s">
        <v>33</v>
      </c>
      <c r="Q27" t="s">
        <v>33</v>
      </c>
    </row>
    <row r="28" spans="3:20" x14ac:dyDescent="0.2">
      <c r="C28" s="11"/>
      <c r="D28" s="12" t="s">
        <v>17</v>
      </c>
      <c r="F28" t="s">
        <v>34</v>
      </c>
      <c r="Q28" t="s">
        <v>34</v>
      </c>
    </row>
    <row r="29" spans="3:20" x14ac:dyDescent="0.2">
      <c r="C29" s="11"/>
      <c r="D29" s="12" t="s">
        <v>18</v>
      </c>
      <c r="F29" t="s">
        <v>35</v>
      </c>
      <c r="Q29" t="s">
        <v>35</v>
      </c>
    </row>
    <row r="30" spans="3:20" ht="17" thickBot="1" x14ac:dyDescent="0.25">
      <c r="C30" s="14"/>
      <c r="D30" s="15" t="s">
        <v>19</v>
      </c>
      <c r="F30" t="s">
        <v>36</v>
      </c>
      <c r="Q30" t="s">
        <v>36</v>
      </c>
    </row>
    <row r="31" spans="3:20" x14ac:dyDescent="0.2">
      <c r="C31" s="6" t="s">
        <v>134</v>
      </c>
      <c r="D31" s="13"/>
      <c r="E31" s="8"/>
      <c r="F31" s="8"/>
      <c r="Q31" s="8"/>
    </row>
    <row r="32" spans="3:20" x14ac:dyDescent="0.2">
      <c r="C32" s="11"/>
      <c r="D32" s="12" t="s">
        <v>16</v>
      </c>
      <c r="F32" t="s">
        <v>135</v>
      </c>
      <c r="Q32" t="s">
        <v>135</v>
      </c>
    </row>
    <row r="33" spans="3:20" x14ac:dyDescent="0.2">
      <c r="C33" s="11"/>
      <c r="D33" s="12" t="s">
        <v>17</v>
      </c>
      <c r="F33" t="s">
        <v>136</v>
      </c>
      <c r="Q33" t="s">
        <v>136</v>
      </c>
    </row>
    <row r="34" spans="3:20" x14ac:dyDescent="0.2">
      <c r="C34" s="11"/>
      <c r="D34" s="12" t="s">
        <v>18</v>
      </c>
      <c r="F34" t="s">
        <v>137</v>
      </c>
      <c r="Q34" t="s">
        <v>137</v>
      </c>
    </row>
    <row r="35" spans="3:20" ht="17" thickBot="1" x14ac:dyDescent="0.25">
      <c r="C35" s="14"/>
      <c r="D35" s="15" t="s">
        <v>19</v>
      </c>
      <c r="F35" t="s">
        <v>138</v>
      </c>
      <c r="Q35" t="s">
        <v>138</v>
      </c>
    </row>
    <row r="36" spans="3:20" ht="17" thickBot="1" x14ac:dyDescent="0.25"/>
    <row r="37" spans="3:20" x14ac:dyDescent="0.2">
      <c r="C37" s="4" t="s">
        <v>37</v>
      </c>
      <c r="D37" s="5"/>
    </row>
    <row r="38" spans="3:20" s="8" customFormat="1" ht="14" x14ac:dyDescent="0.2">
      <c r="C38" s="6" t="s">
        <v>38</v>
      </c>
      <c r="D38" s="13"/>
      <c r="E38" s="8" t="s">
        <v>39</v>
      </c>
      <c r="G38" s="9"/>
      <c r="H38" s="9"/>
      <c r="I38" s="9"/>
      <c r="J38" s="10"/>
      <c r="K38" s="9"/>
      <c r="L38" s="9"/>
      <c r="M38" s="9"/>
      <c r="N38" s="10"/>
      <c r="O38" s="9"/>
      <c r="P38" s="10"/>
      <c r="R38" s="9"/>
      <c r="S38" s="9"/>
      <c r="T38" s="9"/>
    </row>
    <row r="39" spans="3:20" x14ac:dyDescent="0.2">
      <c r="C39" s="11"/>
      <c r="D39" s="12" t="s">
        <v>16</v>
      </c>
      <c r="F39" t="s">
        <v>40</v>
      </c>
      <c r="Q39" t="s">
        <v>40</v>
      </c>
    </row>
    <row r="40" spans="3:20" x14ac:dyDescent="0.2">
      <c r="C40" s="11"/>
      <c r="D40" s="12" t="s">
        <v>17</v>
      </c>
      <c r="F40" t="s">
        <v>41</v>
      </c>
      <c r="Q40" t="s">
        <v>41</v>
      </c>
    </row>
    <row r="41" spans="3:20" x14ac:dyDescent="0.2">
      <c r="C41" s="11"/>
      <c r="D41" s="12" t="s">
        <v>18</v>
      </c>
      <c r="F41" t="s">
        <v>42</v>
      </c>
      <c r="Q41" t="s">
        <v>42</v>
      </c>
    </row>
    <row r="42" spans="3:20" x14ac:dyDescent="0.2">
      <c r="C42" s="11"/>
      <c r="D42" s="12" t="s">
        <v>19</v>
      </c>
      <c r="F42" t="s">
        <v>43</v>
      </c>
      <c r="Q42" t="s">
        <v>43</v>
      </c>
    </row>
    <row r="43" spans="3:20" x14ac:dyDescent="0.2">
      <c r="C43" s="11"/>
      <c r="D43" s="12" t="s">
        <v>26</v>
      </c>
    </row>
    <row r="44" spans="3:20" x14ac:dyDescent="0.2">
      <c r="C44" s="6" t="s">
        <v>44</v>
      </c>
      <c r="D44" s="12"/>
      <c r="E44" s="1" t="s">
        <v>39</v>
      </c>
    </row>
    <row r="45" spans="3:20" x14ac:dyDescent="0.2">
      <c r="C45" s="11"/>
      <c r="D45" s="12" t="s">
        <v>16</v>
      </c>
      <c r="E45" s="1" t="s">
        <v>39</v>
      </c>
      <c r="G45" s="24" t="str">
        <f>IF(G50&lt;&gt;"",G50/1000,"")</f>
        <v/>
      </c>
      <c r="H45" s="24" t="str">
        <f t="shared" ref="H45:S45" si="0">IF(H50&lt;&gt;"",H50/1000,"")</f>
        <v/>
      </c>
      <c r="I45" s="24" t="str">
        <f t="shared" si="0"/>
        <v/>
      </c>
      <c r="J45" s="24" t="str">
        <f t="shared" si="0"/>
        <v/>
      </c>
      <c r="K45" s="24" t="str">
        <f t="shared" si="0"/>
        <v/>
      </c>
      <c r="L45" s="24" t="str">
        <f t="shared" si="0"/>
        <v/>
      </c>
      <c r="M45" s="24" t="str">
        <f t="shared" si="0"/>
        <v/>
      </c>
      <c r="N45" s="24" t="str">
        <f t="shared" si="0"/>
        <v/>
      </c>
      <c r="O45" s="24" t="str">
        <f t="shared" si="0"/>
        <v/>
      </c>
      <c r="P45" s="24" t="str">
        <f t="shared" si="0"/>
        <v/>
      </c>
      <c r="R45" s="24" t="str">
        <f t="shared" si="0"/>
        <v/>
      </c>
      <c r="S45" s="24" t="str">
        <f t="shared" si="0"/>
        <v/>
      </c>
    </row>
    <row r="46" spans="3:20" x14ac:dyDescent="0.2">
      <c r="C46" s="11"/>
      <c r="D46" s="12" t="s">
        <v>17</v>
      </c>
      <c r="E46" s="1" t="s">
        <v>39</v>
      </c>
      <c r="G46" s="24" t="str">
        <f t="shared" ref="G46:S48" si="1">IF(G51&lt;&gt;"",G51/1000,"")</f>
        <v/>
      </c>
      <c r="H46" s="24" t="str">
        <f t="shared" si="1"/>
        <v/>
      </c>
      <c r="I46" s="24" t="str">
        <f t="shared" si="1"/>
        <v/>
      </c>
      <c r="J46" s="24" t="str">
        <f t="shared" si="1"/>
        <v/>
      </c>
      <c r="K46" s="24" t="str">
        <f t="shared" si="1"/>
        <v/>
      </c>
      <c r="L46" s="24" t="str">
        <f t="shared" si="1"/>
        <v/>
      </c>
      <c r="M46" s="24" t="str">
        <f t="shared" si="1"/>
        <v/>
      </c>
      <c r="N46" s="24" t="str">
        <f t="shared" si="1"/>
        <v/>
      </c>
      <c r="O46" s="24" t="str">
        <f t="shared" si="1"/>
        <v/>
      </c>
      <c r="P46" s="24" t="str">
        <f t="shared" si="1"/>
        <v/>
      </c>
      <c r="R46" s="24" t="str">
        <f t="shared" si="1"/>
        <v/>
      </c>
      <c r="S46" s="24" t="str">
        <f t="shared" si="1"/>
        <v/>
      </c>
    </row>
    <row r="47" spans="3:20" x14ac:dyDescent="0.2">
      <c r="C47" s="11"/>
      <c r="D47" s="12" t="s">
        <v>18</v>
      </c>
      <c r="E47" s="1" t="s">
        <v>39</v>
      </c>
      <c r="G47" s="24" t="str">
        <f t="shared" si="1"/>
        <v/>
      </c>
      <c r="H47" s="24" t="str">
        <f t="shared" si="1"/>
        <v/>
      </c>
      <c r="I47" s="24" t="str">
        <f t="shared" si="1"/>
        <v/>
      </c>
      <c r="J47" s="24" t="str">
        <f t="shared" si="1"/>
        <v/>
      </c>
      <c r="K47" s="24" t="str">
        <f t="shared" si="1"/>
        <v/>
      </c>
      <c r="L47" s="24" t="str">
        <f t="shared" si="1"/>
        <v/>
      </c>
      <c r="M47" s="24" t="str">
        <f t="shared" si="1"/>
        <v/>
      </c>
      <c r="N47" s="24" t="str">
        <f t="shared" si="1"/>
        <v/>
      </c>
      <c r="O47" s="24" t="str">
        <f t="shared" si="1"/>
        <v/>
      </c>
      <c r="P47" s="24" t="str">
        <f t="shared" si="1"/>
        <v/>
      </c>
      <c r="R47" s="24" t="str">
        <f t="shared" si="1"/>
        <v/>
      </c>
      <c r="S47" s="24" t="str">
        <f t="shared" si="1"/>
        <v/>
      </c>
    </row>
    <row r="48" spans="3:20" x14ac:dyDescent="0.2">
      <c r="C48" s="11"/>
      <c r="D48" s="12" t="s">
        <v>19</v>
      </c>
      <c r="E48" s="1" t="s">
        <v>39</v>
      </c>
      <c r="G48" s="24" t="str">
        <f t="shared" si="1"/>
        <v/>
      </c>
      <c r="H48" s="24" t="str">
        <f t="shared" si="1"/>
        <v/>
      </c>
      <c r="I48" s="24" t="str">
        <f t="shared" si="1"/>
        <v/>
      </c>
      <c r="J48" s="24" t="str">
        <f t="shared" si="1"/>
        <v/>
      </c>
      <c r="K48" s="24" t="str">
        <f t="shared" si="1"/>
        <v/>
      </c>
      <c r="L48" s="24" t="str">
        <f t="shared" si="1"/>
        <v/>
      </c>
      <c r="M48" s="24" t="str">
        <f t="shared" si="1"/>
        <v/>
      </c>
      <c r="N48" s="24" t="str">
        <f t="shared" si="1"/>
        <v/>
      </c>
      <c r="O48" s="24" t="str">
        <f t="shared" si="1"/>
        <v/>
      </c>
      <c r="P48" s="24" t="str">
        <f t="shared" si="1"/>
        <v/>
      </c>
      <c r="R48" s="24" t="str">
        <f t="shared" si="1"/>
        <v/>
      </c>
      <c r="S48" s="24" t="str">
        <f t="shared" si="1"/>
        <v/>
      </c>
    </row>
    <row r="49" spans="3:20" s="8" customFormat="1" ht="14" x14ac:dyDescent="0.2">
      <c r="C49" s="6" t="s">
        <v>44</v>
      </c>
      <c r="D49" s="13"/>
      <c r="E49" s="8" t="s">
        <v>139</v>
      </c>
      <c r="G49" s="9"/>
      <c r="H49" s="9"/>
      <c r="I49" s="9"/>
      <c r="J49" s="10"/>
      <c r="K49" s="9"/>
      <c r="L49" s="9"/>
      <c r="M49" s="9"/>
      <c r="N49" s="10"/>
      <c r="O49" s="9"/>
      <c r="P49" s="10"/>
      <c r="R49" s="9"/>
      <c r="S49" s="9"/>
      <c r="T49" s="9"/>
    </row>
    <row r="50" spans="3:20" x14ac:dyDescent="0.2">
      <c r="C50" s="11"/>
      <c r="D50" s="12" t="s">
        <v>16</v>
      </c>
      <c r="F50" t="s">
        <v>45</v>
      </c>
      <c r="Q50" t="s">
        <v>45</v>
      </c>
    </row>
    <row r="51" spans="3:20" x14ac:dyDescent="0.2">
      <c r="C51" s="11"/>
      <c r="D51" s="12" t="s">
        <v>17</v>
      </c>
      <c r="F51" t="s">
        <v>46</v>
      </c>
      <c r="Q51" t="s">
        <v>46</v>
      </c>
    </row>
    <row r="52" spans="3:20" x14ac:dyDescent="0.2">
      <c r="C52" s="11"/>
      <c r="D52" s="12" t="s">
        <v>18</v>
      </c>
      <c r="F52" t="s">
        <v>47</v>
      </c>
      <c r="Q52" t="s">
        <v>47</v>
      </c>
    </row>
    <row r="53" spans="3:20" x14ac:dyDescent="0.2">
      <c r="C53" s="11"/>
      <c r="D53" s="12" t="s">
        <v>19</v>
      </c>
      <c r="F53" t="s">
        <v>48</v>
      </c>
      <c r="Q53" t="s">
        <v>48</v>
      </c>
    </row>
    <row r="54" spans="3:20" x14ac:dyDescent="0.2">
      <c r="C54" s="11"/>
      <c r="D54" s="12" t="s">
        <v>26</v>
      </c>
    </row>
    <row r="55" spans="3:20" s="8" customFormat="1" ht="14" x14ac:dyDescent="0.2">
      <c r="C55" s="6" t="s">
        <v>49</v>
      </c>
      <c r="D55" s="13"/>
      <c r="G55" s="9"/>
      <c r="H55" s="9"/>
      <c r="I55" s="9"/>
      <c r="J55" s="10"/>
      <c r="K55" s="9"/>
      <c r="L55" s="9"/>
      <c r="M55" s="9"/>
      <c r="N55" s="10"/>
      <c r="O55" s="9"/>
      <c r="P55" s="10"/>
      <c r="R55" s="9"/>
      <c r="S55" s="9"/>
      <c r="T55" s="9"/>
    </row>
    <row r="56" spans="3:20" x14ac:dyDescent="0.2">
      <c r="C56" s="11"/>
      <c r="D56" s="16" t="s">
        <v>16</v>
      </c>
      <c r="F56" t="s">
        <v>50</v>
      </c>
      <c r="Q56" t="s">
        <v>50</v>
      </c>
    </row>
    <row r="57" spans="3:20" x14ac:dyDescent="0.2">
      <c r="C57" s="11"/>
      <c r="D57" s="16" t="s">
        <v>17</v>
      </c>
      <c r="F57" t="s">
        <v>51</v>
      </c>
      <c r="Q57" t="s">
        <v>51</v>
      </c>
    </row>
    <row r="58" spans="3:20" x14ac:dyDescent="0.2">
      <c r="C58" s="11"/>
      <c r="D58" s="16" t="s">
        <v>18</v>
      </c>
      <c r="F58" t="s">
        <v>52</v>
      </c>
      <c r="Q58" t="s">
        <v>52</v>
      </c>
    </row>
    <row r="59" spans="3:20" x14ac:dyDescent="0.2">
      <c r="C59" s="11"/>
      <c r="D59" s="16" t="s">
        <v>19</v>
      </c>
      <c r="F59" t="s">
        <v>53</v>
      </c>
      <c r="Q59" t="s">
        <v>53</v>
      </c>
    </row>
    <row r="60" spans="3:20" x14ac:dyDescent="0.2">
      <c r="C60" s="11"/>
      <c r="D60" s="16" t="s">
        <v>26</v>
      </c>
      <c r="F60"/>
      <c r="Q60"/>
    </row>
    <row r="61" spans="3:20" s="8" customFormat="1" ht="14" x14ac:dyDescent="0.2">
      <c r="C61" s="6" t="s">
        <v>54</v>
      </c>
      <c r="D61" s="13"/>
      <c r="G61" s="9"/>
      <c r="H61" s="9"/>
      <c r="I61" s="9"/>
      <c r="J61" s="10"/>
      <c r="K61" s="9"/>
      <c r="L61" s="9"/>
      <c r="M61" s="9"/>
      <c r="N61" s="10"/>
      <c r="O61" s="9"/>
      <c r="P61" s="10"/>
      <c r="R61" s="9"/>
      <c r="S61" s="9"/>
      <c r="T61" s="9"/>
    </row>
    <row r="62" spans="3:20" x14ac:dyDescent="0.2">
      <c r="C62" s="11"/>
      <c r="D62" s="16" t="s">
        <v>16</v>
      </c>
      <c r="F62" t="s">
        <v>55</v>
      </c>
      <c r="Q62" t="s">
        <v>55</v>
      </c>
    </row>
    <row r="63" spans="3:20" x14ac:dyDescent="0.2">
      <c r="C63" s="11"/>
      <c r="D63" s="16" t="s">
        <v>17</v>
      </c>
      <c r="F63" t="s">
        <v>56</v>
      </c>
      <c r="Q63" t="s">
        <v>56</v>
      </c>
    </row>
    <row r="64" spans="3:20" x14ac:dyDescent="0.2">
      <c r="C64" s="11"/>
      <c r="D64" s="16" t="s">
        <v>18</v>
      </c>
      <c r="F64" t="s">
        <v>57</v>
      </c>
      <c r="Q64" t="s">
        <v>57</v>
      </c>
    </row>
    <row r="65" spans="3:20" x14ac:dyDescent="0.2">
      <c r="C65" s="11"/>
      <c r="D65" s="16" t="s">
        <v>19</v>
      </c>
      <c r="F65" t="s">
        <v>58</v>
      </c>
      <c r="Q65" t="s">
        <v>58</v>
      </c>
    </row>
    <row r="66" spans="3:20" x14ac:dyDescent="0.2">
      <c r="C66" s="11"/>
      <c r="D66" s="16" t="s">
        <v>26</v>
      </c>
    </row>
    <row r="67" spans="3:20" s="8" customFormat="1" ht="14" x14ac:dyDescent="0.2">
      <c r="C67" s="6" t="s">
        <v>59</v>
      </c>
      <c r="D67" s="13"/>
      <c r="G67" s="9"/>
      <c r="H67" s="9"/>
      <c r="I67" s="9"/>
      <c r="J67" s="10"/>
      <c r="K67" s="9"/>
      <c r="L67" s="9"/>
      <c r="M67" s="9"/>
      <c r="N67" s="10"/>
      <c r="O67" s="9"/>
      <c r="P67" s="10"/>
      <c r="R67" s="9"/>
      <c r="S67" s="9"/>
      <c r="T67" s="9"/>
    </row>
    <row r="68" spans="3:20" x14ac:dyDescent="0.2">
      <c r="C68" s="11"/>
      <c r="D68" s="16" t="s">
        <v>16</v>
      </c>
    </row>
    <row r="69" spans="3:20" x14ac:dyDescent="0.2">
      <c r="C69" s="11"/>
      <c r="D69" s="16" t="s">
        <v>17</v>
      </c>
    </row>
    <row r="70" spans="3:20" x14ac:dyDescent="0.2">
      <c r="C70" s="11"/>
      <c r="D70" s="16" t="s">
        <v>18</v>
      </c>
    </row>
    <row r="71" spans="3:20" x14ac:dyDescent="0.2">
      <c r="C71" s="11"/>
      <c r="D71" s="16" t="s">
        <v>19</v>
      </c>
    </row>
    <row r="72" spans="3:20" x14ac:dyDescent="0.2">
      <c r="C72" s="11"/>
      <c r="D72" s="16" t="s">
        <v>26</v>
      </c>
    </row>
    <row r="73" spans="3:20" s="8" customFormat="1" ht="14" x14ac:dyDescent="0.2">
      <c r="C73" s="6" t="s">
        <v>60</v>
      </c>
      <c r="D73" s="13"/>
      <c r="E73" s="8" t="s">
        <v>141</v>
      </c>
      <c r="G73" s="9"/>
      <c r="H73" s="9"/>
      <c r="I73" s="9"/>
      <c r="J73" s="10"/>
      <c r="K73" s="9"/>
      <c r="L73" s="9"/>
      <c r="M73" s="9"/>
      <c r="N73" s="10"/>
      <c r="O73" s="9"/>
      <c r="P73" s="10"/>
      <c r="R73" s="9"/>
      <c r="S73" s="9"/>
      <c r="T73" s="9"/>
    </row>
    <row r="74" spans="3:20" x14ac:dyDescent="0.2">
      <c r="C74" s="11"/>
      <c r="D74" s="16" t="s">
        <v>16</v>
      </c>
      <c r="F74" s="1" t="s">
        <v>61</v>
      </c>
      <c r="Q74" s="1" t="s">
        <v>61</v>
      </c>
    </row>
    <row r="75" spans="3:20" x14ac:dyDescent="0.2">
      <c r="C75" s="11"/>
      <c r="D75" s="16" t="s">
        <v>17</v>
      </c>
      <c r="F75" s="17" t="s">
        <v>62</v>
      </c>
      <c r="Q75" s="17" t="s">
        <v>62</v>
      </c>
    </row>
    <row r="76" spans="3:20" x14ac:dyDescent="0.2">
      <c r="C76" s="11"/>
      <c r="D76" s="16" t="s">
        <v>18</v>
      </c>
      <c r="F76" s="17" t="s">
        <v>63</v>
      </c>
      <c r="Q76" s="17" t="s">
        <v>63</v>
      </c>
    </row>
    <row r="77" spans="3:20" x14ac:dyDescent="0.2">
      <c r="C77" s="11"/>
      <c r="D77" s="16" t="s">
        <v>19</v>
      </c>
      <c r="F77" s="17" t="s">
        <v>64</v>
      </c>
      <c r="Q77" s="17" t="s">
        <v>64</v>
      </c>
    </row>
    <row r="78" spans="3:20" x14ac:dyDescent="0.2">
      <c r="C78" s="11"/>
      <c r="D78" s="16" t="s">
        <v>26</v>
      </c>
      <c r="F78" s="17" t="s">
        <v>65</v>
      </c>
      <c r="Q78" s="17" t="s">
        <v>65</v>
      </c>
    </row>
    <row r="79" spans="3:20" x14ac:dyDescent="0.2">
      <c r="C79" s="6" t="s">
        <v>60</v>
      </c>
      <c r="D79" s="13"/>
      <c r="E79" s="1" t="s">
        <v>140</v>
      </c>
      <c r="F79" s="17"/>
      <c r="Q79" s="17"/>
    </row>
    <row r="80" spans="3:20" x14ac:dyDescent="0.2">
      <c r="C80" s="11"/>
      <c r="D80" s="16" t="s">
        <v>16</v>
      </c>
      <c r="E80" s="1" t="s">
        <v>140</v>
      </c>
      <c r="F80" s="17"/>
      <c r="G80" s="24" t="str">
        <f>IF(G74&lt;&gt;"",G74/60,"")</f>
        <v/>
      </c>
      <c r="H80" s="24" t="str">
        <f t="shared" ref="H80:S80" si="2">IF(H74&lt;&gt;"",H74/60,"")</f>
        <v/>
      </c>
      <c r="I80" s="24" t="str">
        <f t="shared" si="2"/>
        <v/>
      </c>
      <c r="J80" s="24" t="str">
        <f t="shared" si="2"/>
        <v/>
      </c>
      <c r="K80" s="24" t="str">
        <f t="shared" si="2"/>
        <v/>
      </c>
      <c r="L80" s="24" t="str">
        <f t="shared" si="2"/>
        <v/>
      </c>
      <c r="M80" s="24" t="str">
        <f t="shared" si="2"/>
        <v/>
      </c>
      <c r="N80" s="24" t="str">
        <f t="shared" si="2"/>
        <v/>
      </c>
      <c r="O80" s="24" t="str">
        <f t="shared" si="2"/>
        <v/>
      </c>
      <c r="P80" s="24" t="str">
        <f t="shared" si="2"/>
        <v/>
      </c>
      <c r="Q80" s="17"/>
      <c r="R80" s="24" t="str">
        <f t="shared" si="2"/>
        <v/>
      </c>
      <c r="S80" s="24" t="str">
        <f t="shared" si="2"/>
        <v/>
      </c>
    </row>
    <row r="81" spans="3:20" x14ac:dyDescent="0.2">
      <c r="C81" s="11"/>
      <c r="D81" s="16" t="s">
        <v>17</v>
      </c>
      <c r="E81" s="1" t="s">
        <v>140</v>
      </c>
      <c r="F81" s="17"/>
      <c r="G81" s="24" t="str">
        <f t="shared" ref="G81:S83" si="3">IF(G75&lt;&gt;"",G75/60,"")</f>
        <v/>
      </c>
      <c r="H81" s="24" t="str">
        <f t="shared" si="3"/>
        <v/>
      </c>
      <c r="I81" s="24" t="str">
        <f t="shared" si="3"/>
        <v/>
      </c>
      <c r="J81" s="24" t="str">
        <f t="shared" si="3"/>
        <v/>
      </c>
      <c r="K81" s="24" t="str">
        <f t="shared" si="3"/>
        <v/>
      </c>
      <c r="L81" s="24" t="str">
        <f t="shared" si="3"/>
        <v/>
      </c>
      <c r="M81" s="24" t="str">
        <f t="shared" si="3"/>
        <v/>
      </c>
      <c r="N81" s="24" t="str">
        <f t="shared" si="3"/>
        <v/>
      </c>
      <c r="O81" s="24" t="str">
        <f t="shared" si="3"/>
        <v/>
      </c>
      <c r="P81" s="24" t="str">
        <f t="shared" si="3"/>
        <v/>
      </c>
      <c r="Q81" s="17"/>
      <c r="R81" s="24" t="str">
        <f t="shared" si="3"/>
        <v/>
      </c>
      <c r="S81" s="24" t="str">
        <f t="shared" si="3"/>
        <v/>
      </c>
    </row>
    <row r="82" spans="3:20" x14ac:dyDescent="0.2">
      <c r="C82" s="11"/>
      <c r="D82" s="16" t="s">
        <v>18</v>
      </c>
      <c r="E82" s="1" t="s">
        <v>140</v>
      </c>
      <c r="F82" s="17"/>
      <c r="G82" s="24" t="str">
        <f t="shared" si="3"/>
        <v/>
      </c>
      <c r="H82" s="24" t="str">
        <f t="shared" si="3"/>
        <v/>
      </c>
      <c r="I82" s="24" t="str">
        <f t="shared" si="3"/>
        <v/>
      </c>
      <c r="J82" s="24" t="str">
        <f t="shared" si="3"/>
        <v/>
      </c>
      <c r="K82" s="24" t="str">
        <f t="shared" si="3"/>
        <v/>
      </c>
      <c r="L82" s="24" t="str">
        <f t="shared" si="3"/>
        <v/>
      </c>
      <c r="M82" s="24" t="str">
        <f t="shared" si="3"/>
        <v/>
      </c>
      <c r="N82" s="24" t="str">
        <f t="shared" si="3"/>
        <v/>
      </c>
      <c r="O82" s="24" t="str">
        <f t="shared" si="3"/>
        <v/>
      </c>
      <c r="P82" s="24" t="str">
        <f t="shared" si="3"/>
        <v/>
      </c>
      <c r="Q82" s="17"/>
      <c r="R82" s="24" t="str">
        <f t="shared" si="3"/>
        <v/>
      </c>
      <c r="S82" s="24" t="str">
        <f t="shared" si="3"/>
        <v/>
      </c>
    </row>
    <row r="83" spans="3:20" x14ac:dyDescent="0.2">
      <c r="C83" s="11"/>
      <c r="D83" s="16" t="s">
        <v>19</v>
      </c>
      <c r="E83" s="1" t="s">
        <v>140</v>
      </c>
      <c r="F83" s="17"/>
      <c r="G83" s="24" t="str">
        <f t="shared" si="3"/>
        <v/>
      </c>
      <c r="H83" s="24" t="str">
        <f t="shared" si="3"/>
        <v/>
      </c>
      <c r="I83" s="24" t="str">
        <f t="shared" si="3"/>
        <v/>
      </c>
      <c r="J83" s="24" t="str">
        <f t="shared" si="3"/>
        <v/>
      </c>
      <c r="K83" s="24" t="str">
        <f t="shared" si="3"/>
        <v/>
      </c>
      <c r="L83" s="24" t="str">
        <f t="shared" si="3"/>
        <v/>
      </c>
      <c r="M83" s="24" t="str">
        <f t="shared" si="3"/>
        <v/>
      </c>
      <c r="N83" s="24" t="str">
        <f t="shared" si="3"/>
        <v/>
      </c>
      <c r="O83" s="24" t="str">
        <f t="shared" si="3"/>
        <v/>
      </c>
      <c r="P83" s="24" t="str">
        <f t="shared" si="3"/>
        <v/>
      </c>
      <c r="Q83" s="17"/>
      <c r="R83" s="24" t="str">
        <f t="shared" si="3"/>
        <v/>
      </c>
      <c r="S83" s="24" t="str">
        <f t="shared" si="3"/>
        <v/>
      </c>
    </row>
    <row r="84" spans="3:20" s="8" customFormat="1" ht="14" x14ac:dyDescent="0.2">
      <c r="C84" s="6" t="s">
        <v>66</v>
      </c>
      <c r="D84" s="13"/>
      <c r="G84" s="9"/>
      <c r="H84" s="9"/>
      <c r="I84" s="9"/>
      <c r="J84" s="10"/>
      <c r="K84" s="9"/>
      <c r="L84" s="9"/>
      <c r="M84" s="9"/>
      <c r="N84" s="10"/>
      <c r="O84" s="9"/>
      <c r="P84" s="10"/>
      <c r="R84" s="9"/>
      <c r="S84" s="9"/>
      <c r="T84" s="9"/>
    </row>
    <row r="85" spans="3:20" x14ac:dyDescent="0.2">
      <c r="C85" s="11"/>
      <c r="D85" s="16" t="s">
        <v>16</v>
      </c>
    </row>
    <row r="86" spans="3:20" x14ac:dyDescent="0.2">
      <c r="C86" s="11"/>
      <c r="D86" s="16" t="s">
        <v>17</v>
      </c>
    </row>
    <row r="87" spans="3:20" x14ac:dyDescent="0.2">
      <c r="C87" s="11"/>
      <c r="D87" s="16" t="s">
        <v>18</v>
      </c>
    </row>
    <row r="88" spans="3:20" x14ac:dyDescent="0.2">
      <c r="C88" s="11"/>
      <c r="D88" s="16" t="s">
        <v>19</v>
      </c>
    </row>
    <row r="89" spans="3:20" x14ac:dyDescent="0.2">
      <c r="C89" s="11"/>
      <c r="D89" s="16" t="s">
        <v>26</v>
      </c>
    </row>
    <row r="90" spans="3:20" s="8" customFormat="1" ht="14" x14ac:dyDescent="0.2">
      <c r="C90" s="6" t="s">
        <v>67</v>
      </c>
      <c r="D90" s="13"/>
      <c r="G90" s="9"/>
      <c r="H90" s="9"/>
      <c r="I90" s="9"/>
      <c r="J90" s="10"/>
      <c r="K90" s="9"/>
      <c r="L90" s="9"/>
      <c r="M90" s="9"/>
      <c r="N90" s="10"/>
      <c r="O90" s="9"/>
      <c r="P90" s="10"/>
      <c r="R90" s="9"/>
      <c r="S90" s="9"/>
      <c r="T90" s="9"/>
    </row>
    <row r="91" spans="3:20" x14ac:dyDescent="0.2">
      <c r="C91" s="11"/>
      <c r="D91" s="16" t="s">
        <v>16</v>
      </c>
      <c r="F91" s="1" t="s">
        <v>68</v>
      </c>
      <c r="Q91" s="1" t="s">
        <v>68</v>
      </c>
    </row>
    <row r="92" spans="3:20" x14ac:dyDescent="0.2">
      <c r="C92" s="11"/>
      <c r="D92" s="16" t="s">
        <v>17</v>
      </c>
      <c r="F92" s="1" t="s">
        <v>69</v>
      </c>
      <c r="Q92" s="1" t="s">
        <v>69</v>
      </c>
    </row>
    <row r="93" spans="3:20" x14ac:dyDescent="0.2">
      <c r="C93" s="11"/>
      <c r="D93" s="16" t="s">
        <v>18</v>
      </c>
      <c r="F93" s="1" t="s">
        <v>70</v>
      </c>
      <c r="Q93" s="1" t="s">
        <v>70</v>
      </c>
    </row>
    <row r="94" spans="3:20" x14ac:dyDescent="0.2">
      <c r="C94" s="11"/>
      <c r="D94" s="16" t="s">
        <v>19</v>
      </c>
      <c r="F94" s="1" t="s">
        <v>71</v>
      </c>
      <c r="Q94" s="1" t="s">
        <v>71</v>
      </c>
    </row>
    <row r="95" spans="3:20" ht="17" thickBot="1" x14ac:dyDescent="0.25">
      <c r="C95" s="14"/>
      <c r="D95" s="18" t="s">
        <v>26</v>
      </c>
    </row>
    <row r="96" spans="3:20" ht="17" thickBot="1" x14ac:dyDescent="0.25">
      <c r="C96" s="19"/>
      <c r="D96" s="20"/>
    </row>
    <row r="97" spans="3:20" x14ac:dyDescent="0.2">
      <c r="C97" s="4" t="s">
        <v>72</v>
      </c>
      <c r="D97" s="21"/>
    </row>
    <row r="98" spans="3:20" x14ac:dyDescent="0.2">
      <c r="C98" s="6"/>
      <c r="D98" s="23" t="s">
        <v>132</v>
      </c>
    </row>
    <row r="99" spans="3:20" x14ac:dyDescent="0.2">
      <c r="C99" s="6"/>
      <c r="D99" s="16" t="s">
        <v>16</v>
      </c>
      <c r="F99" t="s">
        <v>128</v>
      </c>
      <c r="Q99" t="s">
        <v>128</v>
      </c>
    </row>
    <row r="100" spans="3:20" x14ac:dyDescent="0.2">
      <c r="C100" s="6"/>
      <c r="D100" s="16" t="s">
        <v>17</v>
      </c>
      <c r="F100" t="s">
        <v>131</v>
      </c>
      <c r="Q100" t="s">
        <v>131</v>
      </c>
    </row>
    <row r="101" spans="3:20" x14ac:dyDescent="0.2">
      <c r="C101" s="6"/>
      <c r="D101" s="16" t="s">
        <v>18</v>
      </c>
      <c r="F101" t="s">
        <v>130</v>
      </c>
      <c r="Q101" t="s">
        <v>130</v>
      </c>
    </row>
    <row r="102" spans="3:20" x14ac:dyDescent="0.2">
      <c r="C102" s="6"/>
      <c r="D102" s="16" t="s">
        <v>19</v>
      </c>
      <c r="F102" t="s">
        <v>129</v>
      </c>
      <c r="Q102" t="s">
        <v>129</v>
      </c>
    </row>
    <row r="103" spans="3:20" s="8" customFormat="1" ht="14" x14ac:dyDescent="0.2">
      <c r="C103" s="6" t="s">
        <v>73</v>
      </c>
      <c r="D103" s="13"/>
      <c r="G103" s="9"/>
      <c r="H103" s="9"/>
      <c r="I103" s="9"/>
      <c r="J103" s="10"/>
      <c r="K103" s="9"/>
      <c r="L103" s="9"/>
      <c r="M103" s="9"/>
      <c r="N103" s="10"/>
      <c r="O103" s="9"/>
      <c r="P103" s="10"/>
      <c r="R103" s="9"/>
      <c r="S103" s="9"/>
      <c r="T103" s="9"/>
    </row>
    <row r="104" spans="3:20" x14ac:dyDescent="0.2">
      <c r="C104" s="11"/>
      <c r="D104" s="16" t="s">
        <v>16</v>
      </c>
      <c r="F104" s="1" t="s">
        <v>74</v>
      </c>
      <c r="Q104" s="1" t="s">
        <v>74</v>
      </c>
    </row>
    <row r="105" spans="3:20" x14ac:dyDescent="0.2">
      <c r="C105" s="11"/>
      <c r="D105" s="16" t="s">
        <v>17</v>
      </c>
      <c r="F105" s="1" t="s">
        <v>75</v>
      </c>
      <c r="Q105" s="1" t="s">
        <v>75</v>
      </c>
    </row>
    <row r="106" spans="3:20" x14ac:dyDescent="0.2">
      <c r="C106" s="11"/>
      <c r="D106" s="16" t="s">
        <v>18</v>
      </c>
      <c r="F106" s="1" t="s">
        <v>76</v>
      </c>
      <c r="Q106" s="1" t="s">
        <v>76</v>
      </c>
    </row>
    <row r="107" spans="3:20" x14ac:dyDescent="0.2">
      <c r="C107" s="11"/>
      <c r="D107" s="16" t="s">
        <v>19</v>
      </c>
      <c r="F107" s="1" t="s">
        <v>77</v>
      </c>
      <c r="Q107" s="1" t="s">
        <v>77</v>
      </c>
    </row>
    <row r="108" spans="3:20" x14ac:dyDescent="0.2">
      <c r="C108" s="11"/>
      <c r="D108" s="16" t="s">
        <v>26</v>
      </c>
      <c r="F108" s="1" t="s">
        <v>78</v>
      </c>
      <c r="Q108" s="1" t="s">
        <v>78</v>
      </c>
    </row>
    <row r="109" spans="3:20" s="8" customFormat="1" ht="14" x14ac:dyDescent="0.2">
      <c r="C109" s="6" t="s">
        <v>79</v>
      </c>
      <c r="D109" s="13"/>
      <c r="G109" s="9"/>
      <c r="H109" s="9"/>
      <c r="I109" s="9"/>
      <c r="J109" s="10"/>
      <c r="K109" s="9"/>
      <c r="L109" s="9"/>
      <c r="M109" s="9"/>
      <c r="N109" s="10"/>
      <c r="O109" s="9"/>
      <c r="P109" s="10"/>
      <c r="R109" s="9"/>
      <c r="S109" s="9"/>
      <c r="T109" s="9"/>
    </row>
    <row r="110" spans="3:20" x14ac:dyDescent="0.2">
      <c r="C110" s="11"/>
      <c r="D110" s="16" t="s">
        <v>16</v>
      </c>
    </row>
    <row r="111" spans="3:20" x14ac:dyDescent="0.2">
      <c r="C111" s="11"/>
      <c r="D111" s="16" t="s">
        <v>17</v>
      </c>
    </row>
    <row r="112" spans="3:20" x14ac:dyDescent="0.2">
      <c r="C112" s="11"/>
      <c r="D112" s="16" t="s">
        <v>18</v>
      </c>
    </row>
    <row r="113" spans="3:20" x14ac:dyDescent="0.2">
      <c r="C113" s="11"/>
      <c r="D113" s="16" t="s">
        <v>19</v>
      </c>
    </row>
    <row r="114" spans="3:20" x14ac:dyDescent="0.2">
      <c r="C114" s="11"/>
      <c r="D114" s="16" t="s">
        <v>26</v>
      </c>
    </row>
    <row r="115" spans="3:20" s="8" customFormat="1" ht="14" x14ac:dyDescent="0.2">
      <c r="C115" s="6" t="s">
        <v>80</v>
      </c>
      <c r="D115" s="13"/>
      <c r="G115" s="9"/>
      <c r="H115" s="9"/>
      <c r="I115" s="9"/>
      <c r="J115" s="10"/>
      <c r="K115" s="9"/>
      <c r="L115" s="9"/>
      <c r="M115" s="9"/>
      <c r="N115" s="10"/>
      <c r="O115" s="9"/>
      <c r="P115" s="10"/>
      <c r="R115" s="9"/>
      <c r="S115" s="9"/>
      <c r="T115" s="9"/>
    </row>
    <row r="116" spans="3:20" x14ac:dyDescent="0.2">
      <c r="C116" s="11"/>
      <c r="D116" s="16" t="s">
        <v>16</v>
      </c>
      <c r="F116" s="22" t="s">
        <v>81</v>
      </c>
      <c r="Q116" s="22" t="s">
        <v>81</v>
      </c>
    </row>
    <row r="117" spans="3:20" x14ac:dyDescent="0.2">
      <c r="C117" s="11"/>
      <c r="D117" s="16" t="s">
        <v>17</v>
      </c>
      <c r="F117" t="s">
        <v>82</v>
      </c>
      <c r="Q117" t="s">
        <v>82</v>
      </c>
    </row>
    <row r="118" spans="3:20" x14ac:dyDescent="0.2">
      <c r="C118" s="11"/>
      <c r="D118" s="16" t="s">
        <v>18</v>
      </c>
      <c r="F118" t="s">
        <v>83</v>
      </c>
      <c r="Q118" t="s">
        <v>83</v>
      </c>
    </row>
    <row r="119" spans="3:20" x14ac:dyDescent="0.2">
      <c r="C119" s="11"/>
      <c r="D119" s="16" t="s">
        <v>19</v>
      </c>
      <c r="F119" s="22" t="s">
        <v>84</v>
      </c>
      <c r="Q119" s="22" t="s">
        <v>84</v>
      </c>
    </row>
    <row r="120" spans="3:20" x14ac:dyDescent="0.2">
      <c r="C120" s="11"/>
      <c r="D120" s="16" t="s">
        <v>26</v>
      </c>
      <c r="F120" s="22" t="s">
        <v>85</v>
      </c>
      <c r="Q120" s="22" t="s">
        <v>85</v>
      </c>
    </row>
    <row r="121" spans="3:20" s="8" customFormat="1" ht="14" x14ac:dyDescent="0.2">
      <c r="C121" s="6" t="s">
        <v>86</v>
      </c>
      <c r="D121" s="13"/>
      <c r="G121" s="9"/>
      <c r="H121" s="9"/>
      <c r="I121" s="9"/>
      <c r="J121" s="10"/>
      <c r="K121" s="9"/>
      <c r="L121" s="9"/>
      <c r="M121" s="9"/>
      <c r="N121" s="10"/>
      <c r="O121" s="9"/>
      <c r="P121" s="10"/>
      <c r="R121" s="9"/>
      <c r="S121" s="9"/>
      <c r="T121" s="9"/>
    </row>
    <row r="122" spans="3:20" x14ac:dyDescent="0.2">
      <c r="C122" s="11"/>
      <c r="D122" s="16" t="s">
        <v>16</v>
      </c>
    </row>
    <row r="123" spans="3:20" x14ac:dyDescent="0.2">
      <c r="C123" s="11"/>
      <c r="D123" s="16" t="s">
        <v>17</v>
      </c>
    </row>
    <row r="124" spans="3:20" x14ac:dyDescent="0.2">
      <c r="C124" s="11"/>
      <c r="D124" s="16" t="s">
        <v>18</v>
      </c>
    </row>
    <row r="125" spans="3:20" x14ac:dyDescent="0.2">
      <c r="C125" s="11"/>
      <c r="D125" s="16" t="s">
        <v>19</v>
      </c>
    </row>
    <row r="126" spans="3:20" x14ac:dyDescent="0.2">
      <c r="C126" s="11"/>
      <c r="D126" s="16" t="s">
        <v>26</v>
      </c>
    </row>
    <row r="127" spans="3:20" s="8" customFormat="1" ht="14" x14ac:dyDescent="0.2">
      <c r="C127" s="6" t="s">
        <v>87</v>
      </c>
      <c r="D127" s="13"/>
      <c r="G127" s="9"/>
      <c r="H127" s="9"/>
      <c r="I127" s="9"/>
      <c r="J127" s="10"/>
      <c r="K127" s="9"/>
      <c r="L127" s="9"/>
      <c r="M127" s="9"/>
      <c r="N127" s="10"/>
      <c r="O127" s="9"/>
      <c r="P127" s="10"/>
      <c r="R127" s="9"/>
      <c r="S127" s="9"/>
      <c r="T127" s="9"/>
    </row>
    <row r="128" spans="3:20" x14ac:dyDescent="0.2">
      <c r="C128" s="11"/>
      <c r="D128" s="16" t="s">
        <v>16</v>
      </c>
      <c r="F128" s="1" t="s">
        <v>88</v>
      </c>
      <c r="Q128" s="1" t="s">
        <v>88</v>
      </c>
    </row>
    <row r="129" spans="3:20" x14ac:dyDescent="0.2">
      <c r="C129" s="11"/>
      <c r="D129" s="16" t="s">
        <v>17</v>
      </c>
      <c r="F129" s="1" t="s">
        <v>89</v>
      </c>
      <c r="Q129" s="1" t="s">
        <v>89</v>
      </c>
    </row>
    <row r="130" spans="3:20" x14ac:dyDescent="0.2">
      <c r="C130" s="11"/>
      <c r="D130" s="16" t="s">
        <v>18</v>
      </c>
      <c r="F130" s="1" t="s">
        <v>90</v>
      </c>
      <c r="Q130" s="1" t="s">
        <v>90</v>
      </c>
    </row>
    <row r="131" spans="3:20" x14ac:dyDescent="0.2">
      <c r="C131" s="11"/>
      <c r="D131" s="16" t="s">
        <v>19</v>
      </c>
      <c r="F131" s="1" t="s">
        <v>91</v>
      </c>
      <c r="Q131" s="1" t="s">
        <v>91</v>
      </c>
    </row>
    <row r="132" spans="3:20" x14ac:dyDescent="0.2">
      <c r="C132" s="11"/>
      <c r="D132" s="16" t="s">
        <v>26</v>
      </c>
      <c r="F132" t="s">
        <v>92</v>
      </c>
      <c r="Q132" t="s">
        <v>92</v>
      </c>
    </row>
    <row r="133" spans="3:20" s="8" customFormat="1" ht="14" x14ac:dyDescent="0.2">
      <c r="C133" s="6" t="s">
        <v>93</v>
      </c>
      <c r="D133" s="13"/>
      <c r="G133" s="9"/>
      <c r="H133" s="9"/>
      <c r="I133" s="9"/>
      <c r="J133" s="10"/>
      <c r="K133" s="9"/>
      <c r="L133" s="9"/>
      <c r="M133" s="9"/>
      <c r="N133" s="10"/>
      <c r="O133" s="9"/>
      <c r="P133" s="10"/>
      <c r="R133" s="9"/>
      <c r="S133" s="9"/>
      <c r="T133" s="9"/>
    </row>
    <row r="134" spans="3:20" x14ac:dyDescent="0.2">
      <c r="C134" s="11"/>
      <c r="D134" s="16" t="s">
        <v>16</v>
      </c>
      <c r="F134" s="1" t="s">
        <v>94</v>
      </c>
      <c r="Q134" s="1" t="s">
        <v>94</v>
      </c>
    </row>
    <row r="135" spans="3:20" x14ac:dyDescent="0.2">
      <c r="C135" s="11"/>
      <c r="D135" s="16" t="s">
        <v>17</v>
      </c>
      <c r="F135" s="1" t="s">
        <v>95</v>
      </c>
      <c r="Q135" s="1" t="s">
        <v>95</v>
      </c>
    </row>
    <row r="136" spans="3:20" x14ac:dyDescent="0.2">
      <c r="C136" s="11"/>
      <c r="D136" s="16" t="s">
        <v>18</v>
      </c>
      <c r="F136" s="1" t="s">
        <v>96</v>
      </c>
      <c r="Q136" s="1" t="s">
        <v>96</v>
      </c>
    </row>
    <row r="137" spans="3:20" x14ac:dyDescent="0.2">
      <c r="C137" s="11"/>
      <c r="D137" s="16" t="s">
        <v>19</v>
      </c>
      <c r="F137" s="1" t="s">
        <v>97</v>
      </c>
      <c r="Q137" s="1" t="s">
        <v>97</v>
      </c>
    </row>
    <row r="138" spans="3:20" x14ac:dyDescent="0.2">
      <c r="C138" s="11"/>
      <c r="D138" s="16" t="s">
        <v>26</v>
      </c>
    </row>
    <row r="139" spans="3:20" s="8" customFormat="1" ht="14" x14ac:dyDescent="0.2">
      <c r="C139" s="6" t="s">
        <v>98</v>
      </c>
      <c r="D139" s="13"/>
      <c r="G139" s="9"/>
      <c r="H139" s="9"/>
      <c r="I139" s="9"/>
      <c r="J139" s="10"/>
      <c r="K139" s="9"/>
      <c r="L139" s="9"/>
      <c r="M139" s="9"/>
      <c r="N139" s="10"/>
      <c r="O139" s="9"/>
      <c r="P139" s="10"/>
      <c r="R139" s="9"/>
      <c r="S139" s="9"/>
      <c r="T139" s="9"/>
    </row>
    <row r="140" spans="3:20" x14ac:dyDescent="0.2">
      <c r="C140" s="11"/>
      <c r="D140" s="16" t="s">
        <v>16</v>
      </c>
    </row>
    <row r="141" spans="3:20" x14ac:dyDescent="0.2">
      <c r="C141" s="11"/>
      <c r="D141" s="16" t="s">
        <v>17</v>
      </c>
    </row>
    <row r="142" spans="3:20" x14ac:dyDescent="0.2">
      <c r="C142" s="11"/>
      <c r="D142" s="16" t="s">
        <v>18</v>
      </c>
    </row>
    <row r="143" spans="3:20" x14ac:dyDescent="0.2">
      <c r="C143" s="11"/>
      <c r="D143" s="16" t="s">
        <v>19</v>
      </c>
    </row>
    <row r="144" spans="3:20" x14ac:dyDescent="0.2">
      <c r="C144" s="11"/>
      <c r="D144" s="16" t="s">
        <v>26</v>
      </c>
    </row>
    <row r="145" spans="3:20" x14ac:dyDescent="0.2">
      <c r="C145" s="6" t="s">
        <v>99</v>
      </c>
      <c r="D145" s="13"/>
    </row>
    <row r="146" spans="3:20" x14ac:dyDescent="0.2">
      <c r="C146" s="11"/>
      <c r="D146" s="16" t="s">
        <v>16</v>
      </c>
      <c r="F146" t="s">
        <v>100</v>
      </c>
      <c r="Q146" t="s">
        <v>100</v>
      </c>
    </row>
    <row r="147" spans="3:20" x14ac:dyDescent="0.2">
      <c r="C147" s="11"/>
      <c r="D147" s="16" t="s">
        <v>17</v>
      </c>
      <c r="F147" t="s">
        <v>101</v>
      </c>
      <c r="Q147" t="s">
        <v>101</v>
      </c>
    </row>
    <row r="148" spans="3:20" x14ac:dyDescent="0.2">
      <c r="C148" s="11"/>
      <c r="D148" s="16" t="s">
        <v>18</v>
      </c>
      <c r="F148" t="s">
        <v>102</v>
      </c>
      <c r="Q148" t="s">
        <v>102</v>
      </c>
    </row>
    <row r="149" spans="3:20" x14ac:dyDescent="0.2">
      <c r="C149" s="11"/>
      <c r="D149" s="16" t="s">
        <v>19</v>
      </c>
      <c r="F149" t="s">
        <v>103</v>
      </c>
      <c r="Q149" t="s">
        <v>103</v>
      </c>
    </row>
    <row r="150" spans="3:20" x14ac:dyDescent="0.2">
      <c r="C150" s="11"/>
      <c r="D150" s="16" t="s">
        <v>26</v>
      </c>
    </row>
    <row r="151" spans="3:20" ht="17" thickBot="1" x14ac:dyDescent="0.25"/>
    <row r="152" spans="3:20" x14ac:dyDescent="0.2">
      <c r="C152" s="4" t="s">
        <v>104</v>
      </c>
      <c r="D152" s="21"/>
    </row>
    <row r="153" spans="3:20" s="8" customFormat="1" ht="14" x14ac:dyDescent="0.2">
      <c r="C153" s="6" t="s">
        <v>73</v>
      </c>
      <c r="D153" s="13"/>
      <c r="G153" s="9"/>
      <c r="H153" s="9"/>
      <c r="I153" s="9"/>
      <c r="J153" s="10"/>
      <c r="K153" s="9"/>
      <c r="L153" s="9"/>
      <c r="M153" s="9"/>
      <c r="N153" s="10"/>
      <c r="O153" s="9"/>
      <c r="P153" s="10"/>
      <c r="R153" s="9"/>
      <c r="S153" s="9"/>
      <c r="T153" s="9"/>
    </row>
    <row r="154" spans="3:20" x14ac:dyDescent="0.2">
      <c r="C154" s="11"/>
      <c r="D154" s="16" t="s">
        <v>16</v>
      </c>
      <c r="F154" s="1" t="s">
        <v>105</v>
      </c>
      <c r="Q154" s="1" t="s">
        <v>105</v>
      </c>
    </row>
    <row r="155" spans="3:20" x14ac:dyDescent="0.2">
      <c r="C155" s="11"/>
      <c r="D155" s="16" t="s">
        <v>17</v>
      </c>
      <c r="F155" s="1" t="s">
        <v>106</v>
      </c>
      <c r="Q155" s="1" t="s">
        <v>106</v>
      </c>
    </row>
    <row r="156" spans="3:20" x14ac:dyDescent="0.2">
      <c r="C156" s="11"/>
      <c r="D156" s="16" t="s">
        <v>18</v>
      </c>
      <c r="F156" s="1" t="s">
        <v>107</v>
      </c>
      <c r="Q156" s="1" t="s">
        <v>107</v>
      </c>
    </row>
    <row r="157" spans="3:20" x14ac:dyDescent="0.2">
      <c r="C157" s="11"/>
      <c r="D157" s="16" t="s">
        <v>19</v>
      </c>
      <c r="F157" s="1" t="s">
        <v>108</v>
      </c>
      <c r="Q157" s="1" t="s">
        <v>108</v>
      </c>
    </row>
    <row r="158" spans="3:20" x14ac:dyDescent="0.2">
      <c r="C158" s="11"/>
      <c r="D158" s="16" t="s">
        <v>26</v>
      </c>
      <c r="F158" s="1" t="s">
        <v>109</v>
      </c>
      <c r="Q158" s="1" t="s">
        <v>109</v>
      </c>
    </row>
    <row r="159" spans="3:20" s="8" customFormat="1" ht="14" x14ac:dyDescent="0.2">
      <c r="C159" s="6" t="s">
        <v>79</v>
      </c>
      <c r="D159" s="13"/>
      <c r="G159" s="9"/>
      <c r="H159" s="9"/>
      <c r="I159" s="9"/>
      <c r="J159" s="10"/>
      <c r="K159" s="9"/>
      <c r="L159" s="9"/>
      <c r="M159" s="9"/>
      <c r="N159" s="10"/>
      <c r="O159" s="9"/>
      <c r="P159" s="10"/>
      <c r="R159" s="9"/>
      <c r="S159" s="9"/>
      <c r="T159" s="9"/>
    </row>
    <row r="160" spans="3:20" x14ac:dyDescent="0.2">
      <c r="C160" s="11"/>
      <c r="D160" s="16" t="s">
        <v>16</v>
      </c>
    </row>
    <row r="161" spans="3:20" x14ac:dyDescent="0.2">
      <c r="C161" s="11"/>
      <c r="D161" s="16" t="s">
        <v>17</v>
      </c>
    </row>
    <row r="162" spans="3:20" x14ac:dyDescent="0.2">
      <c r="C162" s="11"/>
      <c r="D162" s="16" t="s">
        <v>18</v>
      </c>
    </row>
    <row r="163" spans="3:20" x14ac:dyDescent="0.2">
      <c r="C163" s="11"/>
      <c r="D163" s="16" t="s">
        <v>19</v>
      </c>
    </row>
    <row r="164" spans="3:20" x14ac:dyDescent="0.2">
      <c r="C164" s="11"/>
      <c r="D164" s="16" t="s">
        <v>26</v>
      </c>
    </row>
    <row r="165" spans="3:20" s="8" customFormat="1" ht="14" x14ac:dyDescent="0.2">
      <c r="C165" s="6" t="s">
        <v>80</v>
      </c>
      <c r="D165" s="13"/>
      <c r="G165" s="9"/>
      <c r="H165" s="9"/>
      <c r="I165" s="9"/>
      <c r="J165" s="10"/>
      <c r="K165" s="9"/>
      <c r="L165" s="9"/>
      <c r="M165" s="9"/>
      <c r="N165" s="10"/>
      <c r="O165" s="9"/>
      <c r="P165" s="10"/>
      <c r="R165" s="9"/>
      <c r="S165" s="9"/>
      <c r="T165" s="9"/>
    </row>
    <row r="166" spans="3:20" x14ac:dyDescent="0.2">
      <c r="C166" s="11"/>
      <c r="D166" s="16" t="s">
        <v>16</v>
      </c>
      <c r="F166" s="1" t="s">
        <v>110</v>
      </c>
      <c r="Q166" s="1" t="s">
        <v>110</v>
      </c>
    </row>
    <row r="167" spans="3:20" x14ac:dyDescent="0.2">
      <c r="C167" s="11"/>
      <c r="D167" s="16" t="s">
        <v>17</v>
      </c>
      <c r="F167" s="1" t="s">
        <v>111</v>
      </c>
      <c r="Q167" s="1" t="s">
        <v>111</v>
      </c>
    </row>
    <row r="168" spans="3:20" x14ac:dyDescent="0.2">
      <c r="C168" s="11"/>
      <c r="D168" s="16" t="s">
        <v>18</v>
      </c>
      <c r="F168" s="1" t="s">
        <v>112</v>
      </c>
      <c r="Q168" s="1" t="s">
        <v>112</v>
      </c>
    </row>
    <row r="169" spans="3:20" x14ac:dyDescent="0.2">
      <c r="C169" s="11"/>
      <c r="D169" s="16" t="s">
        <v>19</v>
      </c>
      <c r="F169" s="1" t="s">
        <v>113</v>
      </c>
      <c r="Q169" s="1" t="s">
        <v>113</v>
      </c>
    </row>
    <row r="170" spans="3:20" x14ac:dyDescent="0.2">
      <c r="C170" s="11"/>
      <c r="D170" s="16" t="s">
        <v>26</v>
      </c>
    </row>
    <row r="171" spans="3:20" s="8" customFormat="1" ht="14" x14ac:dyDescent="0.2">
      <c r="C171" s="6" t="s">
        <v>86</v>
      </c>
      <c r="D171" s="13"/>
      <c r="G171" s="9"/>
      <c r="H171" s="9"/>
      <c r="I171" s="9"/>
      <c r="J171" s="10"/>
      <c r="K171" s="9"/>
      <c r="L171" s="9"/>
      <c r="M171" s="9"/>
      <c r="N171" s="10"/>
      <c r="O171" s="9"/>
      <c r="P171" s="10"/>
      <c r="R171" s="9"/>
      <c r="S171" s="9"/>
      <c r="T171" s="9"/>
    </row>
    <row r="172" spans="3:20" x14ac:dyDescent="0.2">
      <c r="C172" s="11"/>
      <c r="D172" s="16" t="s">
        <v>16</v>
      </c>
    </row>
    <row r="173" spans="3:20" x14ac:dyDescent="0.2">
      <c r="C173" s="11"/>
      <c r="D173" s="16" t="s">
        <v>17</v>
      </c>
    </row>
    <row r="174" spans="3:20" x14ac:dyDescent="0.2">
      <c r="C174" s="11"/>
      <c r="D174" s="16" t="s">
        <v>18</v>
      </c>
    </row>
    <row r="175" spans="3:20" x14ac:dyDescent="0.2">
      <c r="C175" s="11"/>
      <c r="D175" s="16" t="s">
        <v>19</v>
      </c>
    </row>
    <row r="176" spans="3:20" x14ac:dyDescent="0.2">
      <c r="C176" s="11"/>
      <c r="D176" s="16" t="s">
        <v>26</v>
      </c>
    </row>
    <row r="177" spans="3:20" s="8" customFormat="1" ht="14" x14ac:dyDescent="0.2">
      <c r="C177" s="6" t="s">
        <v>87</v>
      </c>
      <c r="D177" s="13"/>
      <c r="G177" s="9"/>
      <c r="H177" s="9"/>
      <c r="I177" s="9"/>
      <c r="J177" s="10"/>
      <c r="K177" s="9"/>
      <c r="L177" s="9"/>
      <c r="M177" s="9"/>
      <c r="N177" s="10"/>
      <c r="O177" s="9"/>
      <c r="P177" s="10"/>
      <c r="R177" s="9"/>
      <c r="S177" s="9"/>
      <c r="T177" s="9"/>
    </row>
    <row r="178" spans="3:20" x14ac:dyDescent="0.2">
      <c r="C178" s="11"/>
      <c r="D178" s="16" t="s">
        <v>16</v>
      </c>
      <c r="F178" s="1" t="s">
        <v>114</v>
      </c>
      <c r="Q178" s="1" t="s">
        <v>114</v>
      </c>
    </row>
    <row r="179" spans="3:20" x14ac:dyDescent="0.2">
      <c r="C179" s="11"/>
      <c r="D179" s="16" t="s">
        <v>17</v>
      </c>
      <c r="F179" s="1" t="s">
        <v>115</v>
      </c>
      <c r="Q179" s="1" t="s">
        <v>115</v>
      </c>
    </row>
    <row r="180" spans="3:20" x14ac:dyDescent="0.2">
      <c r="C180" s="11"/>
      <c r="D180" s="16" t="s">
        <v>18</v>
      </c>
      <c r="F180" s="1" t="s">
        <v>116</v>
      </c>
      <c r="Q180" s="1" t="s">
        <v>116</v>
      </c>
    </row>
    <row r="181" spans="3:20" x14ac:dyDescent="0.2">
      <c r="C181" s="11"/>
      <c r="D181" s="16" t="s">
        <v>19</v>
      </c>
      <c r="F181" s="1" t="s">
        <v>116</v>
      </c>
      <c r="Q181" s="1" t="s">
        <v>116</v>
      </c>
    </row>
    <row r="182" spans="3:20" x14ac:dyDescent="0.2">
      <c r="C182" s="11"/>
      <c r="D182" s="16" t="s">
        <v>26</v>
      </c>
      <c r="F182" s="1" t="s">
        <v>117</v>
      </c>
      <c r="Q182" s="1" t="s">
        <v>117</v>
      </c>
    </row>
    <row r="183" spans="3:20" s="8" customFormat="1" ht="14" x14ac:dyDescent="0.2">
      <c r="C183" s="6" t="s">
        <v>93</v>
      </c>
      <c r="D183" s="13"/>
      <c r="G183" s="9"/>
      <c r="H183" s="9"/>
      <c r="I183" s="9"/>
      <c r="J183" s="10"/>
      <c r="K183" s="9"/>
      <c r="L183" s="9"/>
      <c r="M183" s="9"/>
      <c r="N183" s="10"/>
      <c r="O183" s="9"/>
      <c r="P183" s="10"/>
      <c r="R183" s="9"/>
      <c r="S183" s="9"/>
      <c r="T183" s="9"/>
    </row>
    <row r="184" spans="3:20" x14ac:dyDescent="0.2">
      <c r="C184" s="11"/>
      <c r="D184" s="16" t="s">
        <v>16</v>
      </c>
      <c r="F184" s="1" t="s">
        <v>118</v>
      </c>
      <c r="Q184" s="1" t="s">
        <v>118</v>
      </c>
    </row>
    <row r="185" spans="3:20" x14ac:dyDescent="0.2">
      <c r="C185" s="11"/>
      <c r="D185" s="16" t="s">
        <v>17</v>
      </c>
      <c r="F185" s="1" t="s">
        <v>119</v>
      </c>
      <c r="Q185" s="1" t="s">
        <v>119</v>
      </c>
    </row>
    <row r="186" spans="3:20" x14ac:dyDescent="0.2">
      <c r="C186" s="11"/>
      <c r="D186" s="16" t="s">
        <v>18</v>
      </c>
      <c r="F186" s="1" t="s">
        <v>120</v>
      </c>
      <c r="Q186" s="1" t="s">
        <v>120</v>
      </c>
    </row>
    <row r="187" spans="3:20" x14ac:dyDescent="0.2">
      <c r="C187" s="11"/>
      <c r="D187" s="16" t="s">
        <v>19</v>
      </c>
      <c r="F187" s="1" t="s">
        <v>121</v>
      </c>
      <c r="Q187" s="1" t="s">
        <v>121</v>
      </c>
    </row>
    <row r="188" spans="3:20" x14ac:dyDescent="0.2">
      <c r="C188" s="11"/>
      <c r="D188" s="16" t="s">
        <v>26</v>
      </c>
      <c r="F188" s="1" t="s">
        <v>122</v>
      </c>
      <c r="Q188" s="1" t="s">
        <v>122</v>
      </c>
    </row>
    <row r="189" spans="3:20" s="8" customFormat="1" ht="14" x14ac:dyDescent="0.2">
      <c r="C189" s="6" t="s">
        <v>98</v>
      </c>
      <c r="D189" s="13"/>
      <c r="G189" s="9"/>
      <c r="H189" s="9"/>
      <c r="I189" s="9"/>
      <c r="J189" s="10"/>
      <c r="K189" s="9"/>
      <c r="L189" s="9"/>
      <c r="M189" s="9"/>
      <c r="N189" s="10"/>
      <c r="O189" s="9"/>
      <c r="P189" s="10"/>
      <c r="R189" s="9"/>
      <c r="S189" s="9"/>
      <c r="T189" s="9"/>
    </row>
    <row r="190" spans="3:20" x14ac:dyDescent="0.2">
      <c r="C190" s="11"/>
      <c r="D190" s="16" t="s">
        <v>16</v>
      </c>
    </row>
    <row r="191" spans="3:20" x14ac:dyDescent="0.2">
      <c r="C191" s="11"/>
      <c r="D191" s="16" t="s">
        <v>17</v>
      </c>
    </row>
    <row r="192" spans="3:20" x14ac:dyDescent="0.2">
      <c r="C192" s="11"/>
      <c r="D192" s="16" t="s">
        <v>18</v>
      </c>
    </row>
    <row r="193" spans="2:17" x14ac:dyDescent="0.2">
      <c r="C193" s="11"/>
      <c r="D193" s="16" t="s">
        <v>19</v>
      </c>
    </row>
    <row r="194" spans="2:17" x14ac:dyDescent="0.2">
      <c r="C194" s="11"/>
      <c r="D194" s="16" t="s">
        <v>26</v>
      </c>
    </row>
    <row r="195" spans="2:17" x14ac:dyDescent="0.2">
      <c r="C195" s="6" t="s">
        <v>99</v>
      </c>
      <c r="D195" s="13"/>
    </row>
    <row r="196" spans="2:17" x14ac:dyDescent="0.2">
      <c r="C196" s="11"/>
      <c r="D196" s="16" t="s">
        <v>16</v>
      </c>
      <c r="F196" t="s">
        <v>123</v>
      </c>
      <c r="Q196" t="s">
        <v>123</v>
      </c>
    </row>
    <row r="197" spans="2:17" s="2" customFormat="1" x14ac:dyDescent="0.2">
      <c r="B197"/>
      <c r="C197" s="11"/>
      <c r="D197" s="16" t="s">
        <v>17</v>
      </c>
      <c r="E197" s="1"/>
      <c r="F197" t="s">
        <v>124</v>
      </c>
      <c r="J197" s="3"/>
      <c r="N197" s="3"/>
      <c r="P197" s="3"/>
      <c r="Q197" t="s">
        <v>124</v>
      </c>
    </row>
    <row r="198" spans="2:17" s="2" customFormat="1" x14ac:dyDescent="0.2">
      <c r="B198"/>
      <c r="C198" s="11"/>
      <c r="D198" s="16" t="s">
        <v>18</v>
      </c>
      <c r="E198" s="1"/>
      <c r="F198" t="s">
        <v>125</v>
      </c>
      <c r="J198" s="3"/>
      <c r="N198" s="3"/>
      <c r="P198" s="3"/>
      <c r="Q198" t="s">
        <v>125</v>
      </c>
    </row>
    <row r="199" spans="2:17" s="2" customFormat="1" x14ac:dyDescent="0.2">
      <c r="B199"/>
      <c r="C199" s="11"/>
      <c r="D199" s="16" t="s">
        <v>19</v>
      </c>
      <c r="E199" s="1"/>
      <c r="F199" t="s">
        <v>126</v>
      </c>
      <c r="J199" s="3"/>
      <c r="N199" s="3"/>
      <c r="P199" s="3"/>
      <c r="Q199" t="s">
        <v>126</v>
      </c>
    </row>
    <row r="200" spans="2:17" s="2" customFormat="1" x14ac:dyDescent="0.2">
      <c r="B200"/>
      <c r="C200" s="11"/>
      <c r="D200" s="16" t="s">
        <v>26</v>
      </c>
      <c r="E200" s="1"/>
      <c r="F200" s="1"/>
      <c r="J200" s="3"/>
      <c r="N200" s="3"/>
      <c r="P200" s="3"/>
      <c r="Q200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2026-05-12T20:33:36Z</dcterms:created>
  <dcterms:modified xsi:type="dcterms:W3CDTF">2026-06-08T20:49:58Z</dcterms:modified>
</cp:coreProperties>
</file>